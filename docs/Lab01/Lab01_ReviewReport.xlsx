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Phase Defects" sheetId="1" r:id="rId5"/>
    <sheet state="visible" name="Architect. Design Phase Defects" sheetId="2" r:id="rId6"/>
    <sheet state="visible" name="Coding Phase Defects" sheetId="3" r:id="rId7"/>
    <sheet state="visible" name="Tool-basedCodeAnalysis" sheetId="4" r:id="rId8"/>
  </sheets>
  <definedNames/>
  <calcPr/>
</workbook>
</file>

<file path=xl/sharedStrings.xml><?xml version="1.0" encoding="utf-8"?>
<sst xmlns="http://schemas.openxmlformats.org/spreadsheetml/2006/main" count="163" uniqueCount="106">
  <si>
    <t>do not print this form</t>
  </si>
  <si>
    <t>Echipa</t>
  </si>
  <si>
    <t>Review Form. Requirements Defects</t>
  </si>
  <si>
    <t>Numele si prenumele</t>
  </si>
  <si>
    <t>Grupa</t>
  </si>
  <si>
    <t>Student 1:</t>
  </si>
  <si>
    <t>Marinescu Dragos</t>
  </si>
  <si>
    <t>Document  Title:</t>
  </si>
  <si>
    <t>Requirements Document</t>
  </si>
  <si>
    <t>Student 2:</t>
  </si>
  <si>
    <t>Marginean Dan</t>
  </si>
  <si>
    <t>Author Name:</t>
  </si>
  <si>
    <t>Marinescu Dragos, Marginean Dan, Marcus Alexandru</t>
  </si>
  <si>
    <t>Student 3:</t>
  </si>
  <si>
    <t>Marcus Alexandru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</si>
  <si>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</si>
  <si>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</si>
  <si>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</si>
  <si>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</si>
  <si>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</si>
  <si>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</si>
  <si>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</t>
  </si>
  <si>
    <t>pg1/13</t>
  </si>
  <si>
    <t>Nu exista specificatii pentru gestionarea stocului scazut</t>
  </si>
  <si>
    <t>R02</t>
  </si>
  <si>
    <t>pg1/24</t>
  </si>
  <si>
    <t>Lipsesc rolulie de utilizator, cine adauga produse si cine vinde</t>
  </si>
  <si>
    <t>R03</t>
  </si>
  <si>
    <t>Aplicatia trebuie sa valideze disponibilitatea si sa scada din stoc</t>
  </si>
  <si>
    <t>R04</t>
  </si>
  <si>
    <t>pg1/30</t>
  </si>
  <si>
    <t>Nu se specifica daca la pornire aplicatia incarca automat datele sau daca trebuie creat un nou magazin</t>
  </si>
  <si>
    <t>R05</t>
  </si>
  <si>
    <t>pg1/17</t>
  </si>
  <si>
    <t>La gestionarea ingredientelor nu avem functionalitati CRUD</t>
  </si>
  <si>
    <t>R06</t>
  </si>
  <si>
    <t>pg1/20</t>
  </si>
  <si>
    <t>Trebuie specificat exact ce fel de interfata doreste clientul</t>
  </si>
  <si>
    <t>R07</t>
  </si>
  <si>
    <t>pg1/40</t>
  </si>
  <si>
    <t>Se specifica doar Java si JavaFX fara alte detalii legate de versiuni</t>
  </si>
  <si>
    <t>Effort to review document (hours):</t>
  </si>
  <si>
    <t>Review Form. Architectural Design Defects</t>
  </si>
  <si>
    <t>Architectural Design Document</t>
  </si>
  <si>
    <t xml:space="preserve">Author Name: </t>
  </si>
  <si>
    <t xml:space="preserve"> </t>
  </si>
  <si>
    <t>A02</t>
  </si>
  <si>
    <t>Controller-ul incalca separarea straturilor deoarece gestioneaza direct liste de date (productList, retetaList) care ar trebui sa stea in Service.</t>
  </si>
  <si>
    <t>A08</t>
  </si>
  <si>
    <t xml:space="preserve">DrinkShopController are prea multe responsabilitati </t>
  </si>
  <si>
    <t>A01</t>
  </si>
  <si>
    <t>Organizarea pe straturi este vizibila, dar DrinkShopService tinde sa devina un punct central prea incarcat</t>
  </si>
  <si>
    <t>A05</t>
  </si>
  <si>
    <t>Existenta ValidationException si a interfetei Validator indica o abordare unitara a erorilor de business</t>
  </si>
  <si>
    <t>Review Form. Coding Defects</t>
  </si>
  <si>
    <t>Coding Document</t>
  </si>
  <si>
    <t>C01</t>
  </si>
  <si>
    <t>src/main/java/drinkshop/ui/DrinkShopController.java:114-123</t>
  </si>
  <si>
    <t>Incrementare ID (currentOrder.getId()+1) poate devia de la datele persistate -&gt; mutam logica in repo.</t>
  </si>
  <si>
    <t>C05</t>
  </si>
  <si>
    <t>src/main/java/drinkshop/ui/DrinkShopController.java:114-124</t>
  </si>
  <si>
    <t>productRepo.findOne(...).getPret() poate da NullPointerException daca produsul lipseste -&gt; adaugam guard.</t>
  </si>
  <si>
    <t>src/main/java/drinkshop/ui/DrinkShopController.java:114-125</t>
  </si>
  <si>
    <t>Export CSV cu cale hardcodata (orders.csv) -&gt; parametrizam locatia si tratam exceptiile.</t>
  </si>
  <si>
    <t>C02</t>
  </si>
  <si>
    <t>src/main/java/drinkshop/ui/DrinkShopController.java:141-142</t>
  </si>
  <si>
    <t>La update, daca nu e selectat produs, metoda iese silent -&gt; afisam mesaj de eroare.</t>
  </si>
  <si>
    <t>src/main/java/drinkshop/ui/DrinkShopController.java:151-152</t>
  </si>
  <si>
    <t>La delete, daca nu e selectat produs, metoda iese silent -&gt; afisam mesaj de eroare.</t>
  </si>
  <si>
    <t>C06</t>
  </si>
  <si>
    <t>src/main/java/drinkshop/ui/DrinkShopController.java:130-134</t>
  </si>
  <si>
    <t>Lipsesc validari pentru nume/categorie/tip produs deci pot ajunge date incomplete în service  -&gt; adaugam validari.</t>
  </si>
  <si>
    <t>C11</t>
  </si>
  <si>
    <t>src/main/java/drinkshop/ui/DrinkShopController.java:119</t>
  </si>
  <si>
    <t>typo :) 'adugati'</t>
  </si>
  <si>
    <t>src/main/java/drinkshop/ui/DrinkShopController.java:170-171</t>
  </si>
  <si>
    <t>Se pot adăuga ingrediente cu nume gol/cantitate invalidă; adăugați reguli minime de validare.</t>
  </si>
  <si>
    <t>C12</t>
  </si>
  <si>
    <t>src/main/java/drinkshop/reports/DailyReportService.java:11-14</t>
  </si>
  <si>
    <t>Campul 'repo' nu este final.</t>
  </si>
  <si>
    <t>Tool-based Code Analysis</t>
  </si>
  <si>
    <t>Tool used:</t>
  </si>
  <si>
    <t>File, Line</t>
  </si>
  <si>
    <t>Issue</t>
  </si>
  <si>
    <t>Before</t>
  </si>
  <si>
    <t>After/Argument</t>
  </si>
  <si>
    <t>AbstractRepository.java, 20</t>
  </si>
  <si>
    <t>unnecessary cast to "List"</t>
  </si>
  <si>
    <t>return (List&lt;E&gt;)StreamSupport.stream(entities.values().spliterator(), false).toList();</t>
  </si>
  <si>
    <t>return StreamSupport.stream(entities.values().spliterator(), false).toList();</t>
  </si>
  <si>
    <t>CsvExporter, 14</t>
  </si>
  <si>
    <t>Add a private constructor to hide the implicit public one</t>
  </si>
  <si>
    <t>private CsvExporter() { }</t>
  </si>
  <si>
    <t>CsvExporter, 23</t>
  </si>
  <si>
    <t>Remove the parentheses around the "p1" parameter</t>
  </si>
  <si>
    <t>Product p = products.stream().filter((p1)-&gt;i.getProduct().getId()==p1.getId()).toList().get(0);</t>
  </si>
  <si>
    <t>Product p = products.stream().filter(p1-&gt;i.getProduct().getId()==p1.getId()).toList().get(0);</t>
  </si>
  <si>
    <t>FileAbstractRepository, 12</t>
  </si>
  <si>
    <t>Change the visibility of this constructor to "protected".</t>
  </si>
  <si>
    <t xml:space="preserve">public FileAbstractRepository(String fileName) </t>
  </si>
  <si>
    <t>protected FileAbstractRepository(String fileName)</t>
  </si>
  <si>
    <t>Order, 62</t>
  </si>
  <si>
    <t>Methods should not have identical implementations</t>
  </si>
  <si>
    <t>public double getTotal() { return totalPrice; }</t>
  </si>
  <si>
    <t>Deleted method</t>
  </si>
  <si>
    <t>Effort to perform tool-based code analysis (hours):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</si>
</sst>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2.0"/>
      <color rgb="FF000080"/>
      <name val="Calibri"/>
    </font>
    <font>
      <i/>
      <sz val="9.0"/>
      <color rgb="FFC0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3" numFmtId="0" xfId="0" applyBorder="1" applyFont="1"/>
    <xf borderId="4" fillId="2" fontId="5" numFmtId="0" xfId="0" applyBorder="1" applyFill="1" applyFont="1"/>
    <xf borderId="1" fillId="2" fontId="5" numFmtId="0" xfId="0" applyAlignment="1" applyBorder="1" applyFont="1">
      <alignment horizontal="right"/>
    </xf>
    <xf borderId="1" fillId="2" fontId="6" numFmtId="0" xfId="0" applyAlignment="1" applyBorder="1" applyFont="1">
      <alignment horizontal="right"/>
    </xf>
    <xf borderId="0" fillId="0" fontId="5" numFmtId="0" xfId="0" applyFont="1"/>
    <xf borderId="4" fillId="0" fontId="5" numFmtId="0" xfId="0" applyBorder="1" applyFont="1"/>
    <xf borderId="1" fillId="0" fontId="5" numFmtId="0" xfId="0" applyAlignment="1" applyBorder="1" applyFont="1">
      <alignment horizontal="right"/>
    </xf>
    <xf borderId="1" fillId="0" fontId="5" numFmtId="164" xfId="0" applyAlignment="1" applyBorder="1" applyFont="1" applyNumberFormat="1">
      <alignment horizontal="right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4" fillId="0" fontId="7" numFmtId="17" xfId="0" applyBorder="1" applyFont="1" applyNumberFormat="1"/>
    <xf borderId="4" fillId="0" fontId="7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" fillId="0" fontId="5" numFmtId="0" xfId="0" applyBorder="1" applyFont="1"/>
    <xf borderId="2" fillId="0" fontId="5" numFmtId="0" xfId="0" applyBorder="1" applyFont="1"/>
    <xf borderId="4" fillId="3" fontId="5" numFmtId="0" xfId="0" applyBorder="1" applyFill="1" applyFont="1"/>
    <xf borderId="1" fillId="3" fontId="5" numFmtId="0" xfId="0" applyAlignment="1" applyBorder="1" applyFont="1">
      <alignment horizontal="right"/>
    </xf>
    <xf borderId="1" fillId="3" fontId="6" numFmtId="0" xfId="0" applyAlignment="1" applyBorder="1" applyFont="1">
      <alignment horizontal="right"/>
    </xf>
    <xf borderId="0" fillId="0" fontId="8" numFmtId="0" xfId="0" applyFont="1"/>
    <xf borderId="4" fillId="4" fontId="5" numFmtId="0" xfId="0" applyBorder="1" applyFill="1" applyFont="1"/>
    <xf borderId="1" fillId="4" fontId="5" numFmtId="0" xfId="0" applyAlignment="1" applyBorder="1" applyFont="1">
      <alignment horizontal="right"/>
    </xf>
    <xf borderId="1" fillId="4" fontId="6" numFmtId="0" xfId="0" applyAlignment="1" applyBorder="1" applyFont="1">
      <alignment horizontal="right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horizontal="lef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29"/>
    <col customWidth="1" min="3" max="4" width="16.29"/>
    <col customWidth="1" min="5" max="5" width="41.43"/>
    <col customWidth="1" min="6" max="8" width="9.0"/>
    <col customWidth="1" min="9" max="9" width="21.0"/>
    <col customWidth="1" min="10" max="10" width="14.43"/>
    <col customWidth="1" min="11" max="26" width="9.0"/>
  </cols>
  <sheetData>
    <row r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7" t="s">
        <v>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8" t="s">
        <v>5</v>
      </c>
      <c r="I3" s="8" t="s">
        <v>6</v>
      </c>
      <c r="J3" s="8">
        <v>234.0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9" t="s">
        <v>7</v>
      </c>
      <c r="D4" s="10" t="s">
        <v>8</v>
      </c>
      <c r="E4" s="6"/>
      <c r="F4" s="3"/>
      <c r="G4" s="3"/>
      <c r="H4" s="8" t="s">
        <v>9</v>
      </c>
      <c r="I4" s="8" t="s">
        <v>10</v>
      </c>
      <c r="J4" s="8">
        <v>234.0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9" t="s">
        <v>11</v>
      </c>
      <c r="D5" s="11" t="s">
        <v>12</v>
      </c>
      <c r="E5" s="6"/>
      <c r="F5" s="3"/>
      <c r="G5" s="3"/>
      <c r="H5" s="8" t="s">
        <v>13</v>
      </c>
      <c r="I5" s="8" t="s">
        <v>14</v>
      </c>
      <c r="J5" s="8">
        <v>234.0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2"/>
      <c r="C6" s="13" t="s">
        <v>15</v>
      </c>
      <c r="D6" s="14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13" t="s">
        <v>16</v>
      </c>
      <c r="D7" s="15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6" t="s">
        <v>17</v>
      </c>
      <c r="C9" s="16" t="s">
        <v>18</v>
      </c>
      <c r="D9" s="16" t="s">
        <v>19</v>
      </c>
      <c r="E9" s="17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">
        <v>1.0</v>
      </c>
      <c r="C10" s="18" t="s">
        <v>21</v>
      </c>
      <c r="D10" s="19" t="s">
        <v>22</v>
      </c>
      <c r="E10" s="20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">
        <f t="shared" ref="B11:B25" si="1">B10+1</f>
        <v>2</v>
      </c>
      <c r="C11" s="18" t="s">
        <v>24</v>
      </c>
      <c r="D11" s="18" t="s">
        <v>25</v>
      </c>
      <c r="E11" s="20" t="s">
        <v>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">
        <f t="shared" si="1"/>
        <v>3</v>
      </c>
      <c r="C12" s="18" t="s">
        <v>27</v>
      </c>
      <c r="D12" s="18" t="s">
        <v>22</v>
      </c>
      <c r="E12" s="20" t="s">
        <v>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>
        <f t="shared" si="1"/>
        <v>4</v>
      </c>
      <c r="C13" s="18" t="s">
        <v>29</v>
      </c>
      <c r="D13" s="18" t="s">
        <v>30</v>
      </c>
      <c r="E13" s="20" t="s">
        <v>31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">
        <f t="shared" si="1"/>
        <v>5</v>
      </c>
      <c r="C14" s="18" t="s">
        <v>32</v>
      </c>
      <c r="D14" s="18" t="s">
        <v>33</v>
      </c>
      <c r="E14" s="20" t="s">
        <v>34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">
        <f t="shared" si="1"/>
        <v>6</v>
      </c>
      <c r="C15" s="18" t="s">
        <v>35</v>
      </c>
      <c r="D15" s="18" t="s">
        <v>36</v>
      </c>
      <c r="E15" s="20" t="s">
        <v>37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">
        <f t="shared" si="1"/>
        <v>7</v>
      </c>
      <c r="C16" s="18" t="s">
        <v>38</v>
      </c>
      <c r="D16" s="18" t="s">
        <v>39</v>
      </c>
      <c r="E16" s="20" t="s">
        <v>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>
        <f t="shared" si="1"/>
        <v>8</v>
      </c>
      <c r="C17" s="18"/>
      <c r="D17" s="18"/>
      <c r="E17" s="2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>
        <f t="shared" si="1"/>
        <v>9</v>
      </c>
      <c r="C18" s="8"/>
      <c r="D18" s="8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>
        <f t="shared" si="1"/>
        <v>10</v>
      </c>
      <c r="C19" s="8"/>
      <c r="D19" s="8"/>
      <c r="E19" s="2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">
        <f t="shared" si="1"/>
        <v>11</v>
      </c>
      <c r="C20" s="8"/>
      <c r="D20" s="8"/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8">
        <f t="shared" si="1"/>
        <v>12</v>
      </c>
      <c r="C21" s="8"/>
      <c r="D21" s="8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8">
        <f t="shared" si="1"/>
        <v>13</v>
      </c>
      <c r="C22" s="8"/>
      <c r="D22" s="8"/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8">
        <f t="shared" si="1"/>
        <v>14</v>
      </c>
      <c r="C23" s="8"/>
      <c r="D23" s="8"/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8">
        <f t="shared" si="1"/>
        <v>15</v>
      </c>
      <c r="C24" s="8"/>
      <c r="D24" s="8"/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8">
        <f t="shared" si="1"/>
        <v>16</v>
      </c>
      <c r="C25" s="8"/>
      <c r="D25" s="8"/>
      <c r="E25" s="2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22" t="s">
        <v>41</v>
      </c>
      <c r="D27" s="23"/>
      <c r="E27" s="18">
        <v>0.5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29"/>
    <col customWidth="1" min="3" max="4" width="16.29"/>
    <col customWidth="1" min="5" max="5" width="41.43"/>
    <col customWidth="1" min="6" max="8" width="9.0"/>
    <col customWidth="1" min="9" max="9" width="22.0"/>
    <col customWidth="1" min="10" max="26" width="9.0"/>
  </cols>
  <sheetData>
    <row r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7" t="s">
        <v>42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8" t="s">
        <v>5</v>
      </c>
      <c r="I3" s="8" t="s">
        <v>6</v>
      </c>
      <c r="J3" s="8">
        <v>234.0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24" t="s">
        <v>7</v>
      </c>
      <c r="D4" s="25" t="s">
        <v>43</v>
      </c>
      <c r="E4" s="6"/>
      <c r="F4" s="3"/>
      <c r="G4" s="3"/>
      <c r="H4" s="8" t="s">
        <v>9</v>
      </c>
      <c r="I4" s="8" t="s">
        <v>10</v>
      </c>
      <c r="J4" s="8">
        <v>234.0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24" t="s">
        <v>44</v>
      </c>
      <c r="D5" s="26" t="s">
        <v>12</v>
      </c>
      <c r="E5" s="6"/>
      <c r="F5" s="3"/>
      <c r="G5" s="3"/>
      <c r="H5" s="8" t="s">
        <v>13</v>
      </c>
      <c r="I5" s="8" t="s">
        <v>14</v>
      </c>
      <c r="J5" s="8">
        <v>234.0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2"/>
      <c r="C6" s="13" t="s">
        <v>15</v>
      </c>
      <c r="D6" s="14" t="s">
        <v>45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13" t="s">
        <v>16</v>
      </c>
      <c r="D7" s="14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6" t="s">
        <v>17</v>
      </c>
      <c r="C9" s="16" t="s">
        <v>18</v>
      </c>
      <c r="D9" s="16" t="s">
        <v>19</v>
      </c>
      <c r="E9" s="16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">
        <v>1.0</v>
      </c>
      <c r="C10" s="18" t="s">
        <v>46</v>
      </c>
      <c r="D10" s="20"/>
      <c r="E10" s="27" t="s">
        <v>47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">
        <f t="shared" ref="B11:B26" si="1">B10+1</f>
        <v>2</v>
      </c>
      <c r="C11" s="18" t="s">
        <v>48</v>
      </c>
      <c r="D11" s="20"/>
      <c r="E11" s="27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">
        <f t="shared" si="1"/>
        <v>3</v>
      </c>
      <c r="C12" s="18" t="s">
        <v>50</v>
      </c>
      <c r="D12" s="18"/>
      <c r="E12" s="27" t="s">
        <v>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>
        <f t="shared" si="1"/>
        <v>4</v>
      </c>
      <c r="C13" s="18" t="s">
        <v>52</v>
      </c>
      <c r="D13" s="18"/>
      <c r="E13" s="27" t="s">
        <v>53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">
        <f t="shared" si="1"/>
        <v>5</v>
      </c>
      <c r="C14" s="18"/>
      <c r="D14" s="20"/>
      <c r="E14" s="2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">
        <f t="shared" si="1"/>
        <v>6</v>
      </c>
      <c r="C15" s="18"/>
      <c r="D15" s="18"/>
      <c r="E15" s="2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">
        <f t="shared" si="1"/>
        <v>7</v>
      </c>
      <c r="C16" s="18"/>
      <c r="D16" s="20"/>
      <c r="E16" s="20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>
        <f t="shared" si="1"/>
        <v>8</v>
      </c>
      <c r="C17" s="18"/>
      <c r="D17" s="20"/>
      <c r="E17" s="2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>
        <f t="shared" si="1"/>
        <v>9</v>
      </c>
      <c r="C18" s="18"/>
      <c r="D18" s="18"/>
      <c r="E18" s="2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>
        <f t="shared" si="1"/>
        <v>10</v>
      </c>
      <c r="C19" s="18"/>
      <c r="D19" s="20"/>
      <c r="E19" s="2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">
        <f t="shared" si="1"/>
        <v>11</v>
      </c>
      <c r="C20" s="18"/>
      <c r="D20" s="18"/>
      <c r="E20" s="2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8">
        <f t="shared" si="1"/>
        <v>12</v>
      </c>
      <c r="C21" s="18"/>
      <c r="D21" s="18"/>
      <c r="E21" s="2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8">
        <f t="shared" si="1"/>
        <v>13</v>
      </c>
      <c r="C22" s="18"/>
      <c r="D22" s="18"/>
      <c r="E22" s="2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8">
        <f t="shared" si="1"/>
        <v>14</v>
      </c>
      <c r="C23" s="18"/>
      <c r="D23" s="18"/>
      <c r="E23" s="2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8">
        <f t="shared" si="1"/>
        <v>15</v>
      </c>
      <c r="C24" s="18"/>
      <c r="D24" s="18"/>
      <c r="E24" s="2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8">
        <f t="shared" si="1"/>
        <v>16</v>
      </c>
      <c r="C25" s="18"/>
      <c r="D25" s="18"/>
      <c r="E25" s="2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8">
        <f t="shared" si="1"/>
        <v>17</v>
      </c>
      <c r="C26" s="18"/>
      <c r="D26" s="18"/>
      <c r="E26" s="2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22" t="s">
        <v>41</v>
      </c>
      <c r="D28" s="23"/>
      <c r="E28" s="18">
        <v>0.5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29"/>
    <col customWidth="1" min="3" max="3" width="16.29"/>
    <col customWidth="1" min="4" max="4" width="18.0"/>
    <col customWidth="1" min="5" max="5" width="41.43"/>
    <col customWidth="1" min="6" max="8" width="9.0"/>
    <col customWidth="1" min="9" max="9" width="26.71"/>
    <col customWidth="1" min="10" max="26" width="9.0"/>
  </cols>
  <sheetData>
    <row r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7" t="s">
        <v>54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8" t="s">
        <v>5</v>
      </c>
      <c r="I3" s="8" t="s">
        <v>10</v>
      </c>
      <c r="J3" s="8">
        <v>234.0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28" t="s">
        <v>7</v>
      </c>
      <c r="D4" s="29" t="s">
        <v>55</v>
      </c>
      <c r="E4" s="6"/>
      <c r="F4" s="3"/>
      <c r="G4" s="3"/>
      <c r="H4" s="8" t="s">
        <v>9</v>
      </c>
      <c r="I4" s="8" t="s">
        <v>14</v>
      </c>
      <c r="J4" s="8">
        <v>234.0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28" t="s">
        <v>11</v>
      </c>
      <c r="D5" s="30" t="s">
        <v>12</v>
      </c>
      <c r="E5" s="6"/>
      <c r="F5" s="3"/>
      <c r="G5" s="3"/>
      <c r="H5" s="8" t="s">
        <v>13</v>
      </c>
      <c r="I5" s="8" t="s">
        <v>6</v>
      </c>
      <c r="J5" s="8">
        <v>234.0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2"/>
      <c r="C6" s="13" t="s">
        <v>15</v>
      </c>
      <c r="D6" s="14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13" t="s">
        <v>16</v>
      </c>
      <c r="D7" s="14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6" t="s">
        <v>17</v>
      </c>
      <c r="C9" s="16" t="s">
        <v>18</v>
      </c>
      <c r="D9" s="16" t="s">
        <v>19</v>
      </c>
      <c r="E9" s="16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">
        <v>1.0</v>
      </c>
      <c r="C10" s="18" t="s">
        <v>56</v>
      </c>
      <c r="D10" s="20" t="s">
        <v>57</v>
      </c>
      <c r="E10" s="20" t="s">
        <v>58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">
        <f t="shared" ref="B11:B30" si="1">B10+1</f>
        <v>2</v>
      </c>
      <c r="C11" s="18" t="s">
        <v>59</v>
      </c>
      <c r="D11" s="20" t="s">
        <v>60</v>
      </c>
      <c r="E11" s="20" t="s">
        <v>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">
        <f t="shared" si="1"/>
        <v>3</v>
      </c>
      <c r="C12" s="18" t="s">
        <v>59</v>
      </c>
      <c r="D12" s="20" t="s">
        <v>62</v>
      </c>
      <c r="E12" s="20" t="s">
        <v>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>
        <f t="shared" si="1"/>
        <v>4</v>
      </c>
      <c r="C13" s="18" t="s">
        <v>64</v>
      </c>
      <c r="D13" s="20" t="s">
        <v>65</v>
      </c>
      <c r="E13" s="20" t="s">
        <v>66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">
        <f t="shared" si="1"/>
        <v>5</v>
      </c>
      <c r="C14" s="18" t="s">
        <v>64</v>
      </c>
      <c r="D14" s="20" t="s">
        <v>67</v>
      </c>
      <c r="E14" s="20" t="s">
        <v>68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">
        <f t="shared" si="1"/>
        <v>6</v>
      </c>
      <c r="C15" s="18" t="s">
        <v>69</v>
      </c>
      <c r="D15" s="20" t="s">
        <v>70</v>
      </c>
      <c r="E15" s="20" t="s">
        <v>71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">
        <f t="shared" si="1"/>
        <v>7</v>
      </c>
      <c r="C16" s="18" t="s">
        <v>72</v>
      </c>
      <c r="D16" s="20" t="s">
        <v>73</v>
      </c>
      <c r="E16" s="20" t="s">
        <v>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>
        <f t="shared" si="1"/>
        <v>8</v>
      </c>
      <c r="C17" s="18" t="s">
        <v>69</v>
      </c>
      <c r="D17" s="20" t="s">
        <v>75</v>
      </c>
      <c r="E17" s="20" t="s">
        <v>76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>
        <f t="shared" si="1"/>
        <v>9</v>
      </c>
      <c r="C18" s="18" t="s">
        <v>77</v>
      </c>
      <c r="D18" s="20" t="s">
        <v>78</v>
      </c>
      <c r="E18" s="20" t="s">
        <v>79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>
        <f t="shared" si="1"/>
        <v>10</v>
      </c>
      <c r="C19" s="18"/>
      <c r="D19" s="18"/>
      <c r="E19" s="2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">
        <f t="shared" si="1"/>
        <v>11</v>
      </c>
      <c r="C20" s="18"/>
      <c r="D20" s="20"/>
      <c r="E20" s="2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8">
        <f t="shared" si="1"/>
        <v>12</v>
      </c>
      <c r="C21" s="18"/>
      <c r="D21" s="18"/>
      <c r="E21" s="2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8">
        <f t="shared" si="1"/>
        <v>13</v>
      </c>
      <c r="C22" s="18"/>
      <c r="D22" s="20"/>
      <c r="E22" s="2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8">
        <f t="shared" si="1"/>
        <v>14</v>
      </c>
      <c r="C23" s="18"/>
      <c r="D23" s="20"/>
      <c r="E23" s="2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8">
        <f t="shared" si="1"/>
        <v>15</v>
      </c>
      <c r="C24" s="18"/>
      <c r="D24" s="20"/>
      <c r="E24" s="2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8">
        <f t="shared" si="1"/>
        <v>16</v>
      </c>
      <c r="C25" s="18"/>
      <c r="D25" s="20"/>
      <c r="E25" s="2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8">
        <f t="shared" si="1"/>
        <v>17</v>
      </c>
      <c r="C26" s="18"/>
      <c r="D26" s="18"/>
      <c r="E26" s="2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8">
        <f t="shared" si="1"/>
        <v>18</v>
      </c>
      <c r="C27" s="18"/>
      <c r="D27" s="20"/>
      <c r="E27" s="1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8">
        <f t="shared" si="1"/>
        <v>19</v>
      </c>
      <c r="C28" s="18"/>
      <c r="D28" s="20"/>
      <c r="E28" s="2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8">
        <f t="shared" si="1"/>
        <v>20</v>
      </c>
      <c r="C29" s="18"/>
      <c r="D29" s="20"/>
      <c r="E29" s="2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8">
        <f t="shared" si="1"/>
        <v>21</v>
      </c>
      <c r="C30" s="18"/>
      <c r="D30" s="20"/>
      <c r="E30" s="2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22" t="s">
        <v>41</v>
      </c>
      <c r="D32" s="23"/>
      <c r="E32" s="18">
        <v>0.5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1DD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29"/>
    <col customWidth="1" min="3" max="3" width="28.29"/>
    <col customWidth="1" min="4" max="4" width="45.14"/>
    <col customWidth="1" min="5" max="5" width="24.0"/>
    <col customWidth="1" min="6" max="6" width="16.57"/>
    <col customWidth="1" min="7" max="8" width="9.0"/>
    <col customWidth="1" min="9" max="9" width="26.71"/>
    <col customWidth="1" min="10" max="26" width="9.0"/>
  </cols>
  <sheetData>
    <row r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7" t="s">
        <v>80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8" t="s">
        <v>5</v>
      </c>
      <c r="I3" s="8" t="s">
        <v>10</v>
      </c>
      <c r="J3" s="8">
        <v>234.0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28" t="s">
        <v>81</v>
      </c>
      <c r="D4" s="29"/>
      <c r="E4" s="6"/>
      <c r="F4" s="3"/>
      <c r="G4" s="3"/>
      <c r="H4" s="8" t="s">
        <v>9</v>
      </c>
      <c r="I4" s="8" t="s">
        <v>14</v>
      </c>
      <c r="J4" s="8">
        <v>234.0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13" t="s">
        <v>15</v>
      </c>
      <c r="D5" s="14" t="s">
        <v>12</v>
      </c>
      <c r="E5" s="6"/>
      <c r="F5" s="3"/>
      <c r="G5" s="3"/>
      <c r="H5" s="8" t="s">
        <v>13</v>
      </c>
      <c r="I5" s="8" t="s">
        <v>6</v>
      </c>
      <c r="J5" s="8">
        <v>234.0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2"/>
      <c r="C6" s="13" t="s">
        <v>16</v>
      </c>
      <c r="D6" s="14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6" t="s">
        <v>17</v>
      </c>
      <c r="C9" s="16" t="s">
        <v>82</v>
      </c>
      <c r="D9" s="16" t="s">
        <v>83</v>
      </c>
      <c r="E9" s="16" t="s">
        <v>84</v>
      </c>
      <c r="F9" s="16" t="s">
        <v>85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">
        <v>1.0</v>
      </c>
      <c r="C10" s="31" t="s">
        <v>86</v>
      </c>
      <c r="D10" s="32" t="s">
        <v>87</v>
      </c>
      <c r="E10" s="32" t="s">
        <v>88</v>
      </c>
      <c r="F10" s="32" t="s">
        <v>89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">
        <f t="shared" ref="B11:B30" si="1">B10+1</f>
        <v>2</v>
      </c>
      <c r="C11" s="31" t="s">
        <v>90</v>
      </c>
      <c r="D11" s="31" t="s">
        <v>91</v>
      </c>
      <c r="E11" s="32"/>
      <c r="F11" s="32" t="s">
        <v>92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">
        <f t="shared" si="1"/>
        <v>3</v>
      </c>
      <c r="C12" s="31" t="s">
        <v>93</v>
      </c>
      <c r="D12" s="31" t="s">
        <v>94</v>
      </c>
      <c r="E12" s="32" t="s">
        <v>95</v>
      </c>
      <c r="F12" s="32" t="s">
        <v>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>
        <f t="shared" si="1"/>
        <v>4</v>
      </c>
      <c r="C13" s="31" t="s">
        <v>97</v>
      </c>
      <c r="D13" s="32" t="s">
        <v>98</v>
      </c>
      <c r="E13" s="32" t="s">
        <v>99</v>
      </c>
      <c r="F13" s="32" t="s">
        <v>100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">
        <f t="shared" si="1"/>
        <v>5</v>
      </c>
      <c r="C14" s="31" t="s">
        <v>101</v>
      </c>
      <c r="D14" s="32" t="s">
        <v>102</v>
      </c>
      <c r="E14" s="32" t="s">
        <v>103</v>
      </c>
      <c r="F14" s="32" t="s">
        <v>104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">
        <f t="shared" si="1"/>
        <v>6</v>
      </c>
      <c r="C15" s="18"/>
      <c r="D15" s="20"/>
      <c r="E15" s="32"/>
      <c r="F15" s="2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">
        <f t="shared" si="1"/>
        <v>7</v>
      </c>
      <c r="C16" s="18"/>
      <c r="D16" s="20"/>
      <c r="E16" s="32"/>
      <c r="F16" s="2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>
        <f t="shared" si="1"/>
        <v>8</v>
      </c>
      <c r="C17" s="18"/>
      <c r="D17" s="20"/>
      <c r="E17" s="20"/>
      <c r="F17" s="2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>
        <f t="shared" si="1"/>
        <v>9</v>
      </c>
      <c r="C18" s="18"/>
      <c r="D18" s="20"/>
      <c r="E18" s="20"/>
      <c r="F18" s="2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>
        <f t="shared" si="1"/>
        <v>10</v>
      </c>
      <c r="C19" s="18"/>
      <c r="D19" s="18"/>
      <c r="E19" s="20"/>
      <c r="F19" s="2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">
        <f t="shared" si="1"/>
        <v>11</v>
      </c>
      <c r="C20" s="18"/>
      <c r="D20" s="20"/>
      <c r="E20" s="20"/>
      <c r="F20" s="2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8">
        <f t="shared" si="1"/>
        <v>12</v>
      </c>
      <c r="C21" s="18"/>
      <c r="D21" s="18"/>
      <c r="E21" s="20"/>
      <c r="F21" s="2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8">
        <f t="shared" si="1"/>
        <v>13</v>
      </c>
      <c r="C22" s="18"/>
      <c r="D22" s="20"/>
      <c r="E22" s="20"/>
      <c r="F22" s="2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8">
        <f t="shared" si="1"/>
        <v>14</v>
      </c>
      <c r="C23" s="18"/>
      <c r="D23" s="20"/>
      <c r="E23" s="20"/>
      <c r="F23" s="2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8">
        <f t="shared" si="1"/>
        <v>15</v>
      </c>
      <c r="C24" s="18"/>
      <c r="D24" s="20"/>
      <c r="E24" s="20"/>
      <c r="F24" s="2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8">
        <f t="shared" si="1"/>
        <v>16</v>
      </c>
      <c r="C25" s="18"/>
      <c r="D25" s="20"/>
      <c r="E25" s="20"/>
      <c r="F25" s="2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8">
        <f t="shared" si="1"/>
        <v>17</v>
      </c>
      <c r="C26" s="18"/>
      <c r="D26" s="18"/>
      <c r="E26" s="20"/>
      <c r="F26" s="2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8">
        <f t="shared" si="1"/>
        <v>18</v>
      </c>
      <c r="C27" s="18"/>
      <c r="D27" s="20"/>
      <c r="E27" s="18"/>
      <c r="F27" s="1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8">
        <f t="shared" si="1"/>
        <v>19</v>
      </c>
      <c r="C28" s="18"/>
      <c r="D28" s="20"/>
      <c r="E28" s="20"/>
      <c r="F28" s="2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8">
        <f t="shared" si="1"/>
        <v>20</v>
      </c>
      <c r="C29" s="18"/>
      <c r="D29" s="20"/>
      <c r="E29" s="20"/>
      <c r="F29" s="2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8">
        <f t="shared" si="1"/>
        <v>21</v>
      </c>
      <c r="C30" s="18"/>
      <c r="D30" s="20"/>
      <c r="E30" s="20"/>
      <c r="F30" s="2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3" t="s">
        <v>105</v>
      </c>
      <c r="F32" s="3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C32:E32"/>
  </mergeCells>
  <printOptions/>
  <pageMargins bottom="0.75" footer="0.0" header="0.0" left="0.7" right="0.7" top="0.75"/>
  <pageSetup paperSize="9" orientation="portrait"/>
  <drawing r:id="rId1"/>
</worksheet>
</file>